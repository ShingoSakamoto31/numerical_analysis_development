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Value</t>
        </is>
      </c>
    </row>
    <row r="2">
      <c r="A2" t="inlineStr">
        <is>
          <t>DPP4_FAP (= DPP4/FAP)</t>
        </is>
      </c>
    </row>
    <row r="3">
      <c r="A3" t="inlineStr">
        <is>
          <t>CTRB2</t>
        </is>
      </c>
    </row>
    <row r="4">
      <c r="A4" t="inlineStr">
        <is>
          <t>Chymotrypsin (= CTRB1/CTRB2)</t>
        </is>
      </c>
    </row>
    <row r="5">
      <c r="A5" t="inlineStr">
        <is>
          <t>CELA3A</t>
        </is>
      </c>
    </row>
    <row r="6">
      <c r="A6" t="inlineStr">
        <is>
          <t>Score (mean of trees)</t>
        </is>
      </c>
      <c r="B6">
        <f>AVERAGE($B$8:$B$107)</f>
        <v/>
      </c>
    </row>
    <row r="7">
      <c r="A7" t="inlineStr">
        <is>
          <t>Per-tree P(y=1)</t>
        </is>
      </c>
    </row>
    <row r="8">
      <c r="A8" t="n">
        <v>1</v>
      </c>
      <c r="B8">
        <f>IF($B$3&lt;=0.0090553421,IF($B$2&lt;=0.5802330077,0.0153061224,IF($B$5&lt;=0.000315399,1,0.2105263158)),IF($B$3&lt;=0.016043663,IF($B$5&lt;=0.000535051,1,0.1666666667),1))</f>
        <v/>
      </c>
    </row>
    <row r="9">
      <c r="A9" t="n">
        <v>2</v>
      </c>
      <c r="B9">
        <f>IF($B$4&lt;=0.2194748521,IF($B$4&lt;=0.154121168,IF($B$4&lt;=0.0879420601,0.5,1),IF($B$4&lt;=0.2034567818,0.2941176471,0.875)),IF($B$4&lt;=0.3246679157,IF($B$4&lt;=0.3156753927,0.0895522388,1),0.0070422535))</f>
        <v/>
      </c>
    </row>
    <row r="10">
      <c r="A10" t="n">
        <v>3</v>
      </c>
      <c r="B10">
        <f>IF($B$4&lt;=0.1526509672,IF($B$3&lt;=0.0134213767,IF($B$5&lt;=0.000203709,1,0.5),1),IF($B$4&lt;=0.3212285936,IF($B$2&lt;=0.7094241083,0.1272727273,1),IF($B$3&lt;=0.0012064485,0.2857142857,0)))</f>
        <v/>
      </c>
    </row>
    <row r="11">
      <c r="A11" t="n">
        <v>4</v>
      </c>
      <c r="B11">
        <f>IF($B$4&lt;=0.2378684804,IF($B$2&lt;=0.5644873083,IF($B$3&lt;=0.0137202791,0.125,1),IF($B$5&lt;=0.000350961,1,0.8125)),IF($B$2&lt;=0.6369341016,IF($B$3&lt;=0.0127968462,0.0197044335,1),IF($B$5&lt;=0.0006764045,1,0.375)))</f>
        <v/>
      </c>
    </row>
    <row r="12">
      <c r="A12" t="n">
        <v>5</v>
      </c>
      <c r="B12">
        <f>IF($B$3&lt;=0.0104546067,IF($B$4&lt;=0.3234332651,IF($B$4&lt;=0.3190056086,0.2118644068,1),IF($B$3&lt;=0.0018493885,0.1,0)),IF($B$2&lt;=0.6052120328,IF($B$3&lt;=0.0166311669,0.25,1),1))</f>
        <v/>
      </c>
    </row>
    <row r="13">
      <c r="A13" t="n">
        <v>6</v>
      </c>
      <c r="B13">
        <f>IF($B$4&lt;=0.2194748521,IF($B$2&lt;=0.5763431191,IF($B$3&lt;=0.0170703838,0.1428571429,1),IF($B$2&lt;=0.6609957218,0.7727272727,1)),IF($B$3&lt;=0.0119789024,IF($B$5&lt;=0.0009231735,0.0714285714,0),1))</f>
        <v/>
      </c>
    </row>
    <row r="14">
      <c r="A14" t="n">
        <v>7</v>
      </c>
      <c r="B14">
        <f>IF($B$2&lt;=0.6083264947,IF($B$4&lt;=0.2071397901,IF($B$3&lt;=0.0172105487,0.2941176471,1),IF($B$4&lt;=0.3222966939,0.08,0)),IF($B$3&lt;=0.0090553421,IF($B$5&lt;=0.000606655,0.7777777778,0.1428571429),1))</f>
        <v/>
      </c>
    </row>
    <row r="15">
      <c r="A15" t="n">
        <v>8</v>
      </c>
      <c r="B15">
        <f>IF($B$2&lt;=0.6105303466,IF($B$3&lt;=0.0170703838,0.0288461538,1),IF($B$4&lt;=0.2359096035,0.9677419355,IF($B$5&lt;=0.0005956905,0.7692307692,0.1818181818)))</f>
        <v/>
      </c>
    </row>
    <row r="16">
      <c r="A16" t="n">
        <v>9</v>
      </c>
      <c r="B16">
        <f>IF($B$2&lt;=0.6378198266,IF($B$3&lt;=0.0105623719,IF($B$5&lt;=0.0002729465,0.2380952381,0.0106382979),IF($B$3&lt;=0.0154848485,0.7272727273,1)),IF($B$5&lt;=0.0006054325,1,0.3636363636))</f>
        <v/>
      </c>
    </row>
    <row r="17">
      <c r="A17" t="n">
        <v>10</v>
      </c>
      <c r="B17">
        <f>IF($B$3&lt;=0.0114958803,IF($B$5&lt;=0.000583383,IF($B$2&lt;=0.6578044593,0.1914893617,1),IF($B$4&lt;=0.2720343471,0.1739130435,0)),IF($B$3&lt;=0.016043663,IF($B$4&lt;=0.1780370623,0,1),1))</f>
        <v/>
      </c>
    </row>
    <row r="18">
      <c r="A18" t="n">
        <v>11</v>
      </c>
      <c r="B18">
        <f>IF($B$4&lt;=0.2081912532,IF($B$5&lt;=0.00037319,1,IF($B$3&lt;=0.0099406932,0.25,0.8125)),IF($B$3&lt;=0.0141630145,IF($B$3&lt;=0.0012022095,0.5,0.0328638498),1))</f>
        <v/>
      </c>
    </row>
    <row r="19">
      <c r="A19" t="n">
        <v>12</v>
      </c>
      <c r="B19">
        <f>IF($B$3&lt;=0.0105623719,IF($B$2&lt;=0.6165937185,IF($B$5&lt;=0.00410567,0.0307692308,1),IF($B$5&lt;=0.000309207,1,0.2083333333)),IF($B$2&lt;=0.4583876431,0,IF($B$5&lt;=0.004503233,1,0)))</f>
        <v/>
      </c>
    </row>
    <row r="20">
      <c r="A20" t="n">
        <v>13</v>
      </c>
      <c r="B20">
        <f>IF($B$2&lt;=0.5802330077,IF($B$3&lt;=0.015834928,IF($B$2&lt;=0.5098751783,0.0462962963,0),1),IF($B$4&lt;=0.2739511281,IF($B$4&lt;=0.154121168,1,0.8125),IF($B$2&lt;=0.7742049992,0.1923076923,1)))</f>
        <v/>
      </c>
    </row>
    <row r="21">
      <c r="A21" t="n">
        <v>14</v>
      </c>
      <c r="B21">
        <f>IF($B$2&lt;=0.6144902408,IF($B$3&lt;=0.0154848485,IF($B$4&lt;=0.3222966939,0.1171171171,0.0185185185),1),IF($B$5&lt;=0.0005956905,1,IF($B$4&lt;=0.228030026,1,0.1578947368)))</f>
        <v/>
      </c>
    </row>
    <row r="22">
      <c r="A22" t="n">
        <v>15</v>
      </c>
      <c r="B22">
        <f>IF($B$4&lt;=0.1526509672,IF($B$3&lt;=0.0098717813,IF($B$3&lt;=0.003816461,1,0),1),IF($B$2&lt;=0.6354198158,IF($B$4&lt;=0.3246679157,0.1386138614,0),IF($B$3&lt;=0.0090553421,0.5,1)))</f>
        <v/>
      </c>
    </row>
    <row r="23">
      <c r="A23" t="n">
        <v>16</v>
      </c>
      <c r="B23">
        <f>IF($B$3&lt;=0.016043663,IF($B$5&lt;=0.0001613335,1,IF($B$2&lt;=0.6378198266,0.0642201835,0.55)),1)</f>
        <v/>
      </c>
    </row>
    <row r="24">
      <c r="A24" t="n">
        <v>17</v>
      </c>
      <c r="B24">
        <f>IF($B$3&lt;=0.0150994183,IF($B$2&lt;=0.6121737063,IF($B$3&lt;=0.0073487265,0.0166666667,0.2352941176),IF($B$3&lt;=0.0091113043,0.53125,1)),0.972972973)</f>
        <v/>
      </c>
    </row>
    <row r="25">
      <c r="A25" t="n">
        <v>18</v>
      </c>
      <c r="B25">
        <f>IF($B$4&lt;=0.2369869426,IF($B$4&lt;=0.1586478949,IF($B$5&lt;=0.0003255725,1,0.6923076923),IF($B$2&lt;=0.6070748866,0.25,0.9166666667)),IF($B$3&lt;=0.0012064485,IF($B$4&lt;=0.588781625,1,0.25),IF($B$4&lt;=0.3171452135,0.0975609756,0)))</f>
        <v/>
      </c>
    </row>
    <row r="26">
      <c r="A26" t="n">
        <v>19</v>
      </c>
      <c r="B26">
        <f>IF($B$2&lt;=0.5802330077,IF($B$4&lt;=0.3222966939,IF($B$3&lt;=0.0039114805,0.4285714286,0.0972222222),IF($B$3&lt;=0.0012064485,0.0769230769,0)),IF($B$3&lt;=0.0150994183,IF($B$4&lt;=0.3008657098,0.7407407407,0.0769230769),1))</f>
        <v/>
      </c>
    </row>
    <row r="27">
      <c r="A27" t="n">
        <v>20</v>
      </c>
      <c r="B27">
        <f>IF($B$4&lt;=0.2205508798,IF($B$2&lt;=0.5124279708,IF($B$2&lt;=0.4091402888,1,0.0588235294),IF($B$4&lt;=0.0879420601,0.4,0.9)),IF($B$5&lt;=0.0001680935,1,IF($B$4&lt;=0.5374824107,0.0326086957,0.2631578947)))</f>
        <v/>
      </c>
    </row>
    <row r="28">
      <c r="A28" t="n">
        <v>21</v>
      </c>
      <c r="B28">
        <f>IF($B$3&lt;=0.0105623719,IF($B$2&lt;=0.5785256922,IF($B$4&lt;=0.3234332651,0.0714285714,0),IF($B$5&lt;=0.000315399,1,0.2222222222)),IF($B$3&lt;=0.016043663,IF($B$5&lt;=0.000471029,1,0.3333333333),1))</f>
        <v/>
      </c>
    </row>
    <row r="29">
      <c r="A29" t="n">
        <v>22</v>
      </c>
      <c r="B29">
        <f>IF($B$4&lt;=0.2186641991,IF($B$3&lt;=0.0152998548,IF($B$5&lt;=0.0003478485,1,0.3333333333),1),IF($B$5&lt;=0.0001643795,1,IF($B$5&lt;=0.0005849025,0.0989010989,0.0175438596)))</f>
        <v/>
      </c>
    </row>
    <row r="30">
      <c r="A30" t="n">
        <v>23</v>
      </c>
      <c r="B30">
        <f>IF($B$3&lt;=0.0114898668,IF($B$4&lt;=0.2194748521,IF($B$2&lt;=0.551815331,0.15,0.8333333333),IF($B$3&lt;=0.0013318935,0.3571428571,0.0604395604)),IF($B$2&lt;=0.4675848633,0,1))</f>
        <v/>
      </c>
    </row>
    <row r="31">
      <c r="A31" t="n">
        <v>24</v>
      </c>
      <c r="B31">
        <f>IF($B$3&lt;=0.0105909784,IF($B$2&lt;=0.6121737063,IF($B$5&lt;=0.0003081065,0.25,0.0057471264),IF($B$5&lt;=0.000618411,0.8636363636,0.1333333333)),IF($B$3&lt;=0.016043663,IF($B$5&lt;=0.0006425005,1,0),1))</f>
        <v/>
      </c>
    </row>
    <row r="32">
      <c r="A32" t="n">
        <v>25</v>
      </c>
      <c r="B32">
        <f>IF($B$3&lt;=0.0114958803,IF($B$5&lt;=0.0001643795,IF($B$2&lt;=0.5722168386,0.5,1),IF($B$2&lt;=0.5948089659,0.041025641,0.2857142857)),IF($B$2&lt;=0.6052120328,IF($B$2&lt;=0.5963257849,0.7777777778,0),1))</f>
        <v/>
      </c>
    </row>
    <row r="33">
      <c r="A33" t="n">
        <v>26</v>
      </c>
      <c r="B33">
        <f>IF($B$2&lt;=0.5802330077,IF($B$4&lt;=0.3222966939,IF($B$4&lt;=0.3190056086,0.1,1),IF($B$3&lt;=0.0012022095,0.2857142857,0)),IF($B$3&lt;=0.0089479825,IF($B$3&lt;=0.0028451995,1,0.3255813953),IF($B$2&lt;=0.6052120328,0.3333333333,1)))</f>
        <v/>
      </c>
    </row>
    <row r="34">
      <c r="A34" t="n">
        <v>27</v>
      </c>
      <c r="B34">
        <f>IF($B$3&lt;=0.0105623719,IF($B$2&lt;=0.5802330077,IF($B$2&lt;=0.4648015946,0,0.0875912409),IF($B$5&lt;=0.0005865075,0.8260869565,0.0769230769)),IF($B$2&lt;=0.4647343159,0,1))</f>
        <v/>
      </c>
    </row>
    <row r="35">
      <c r="A35" t="n">
        <v>28</v>
      </c>
      <c r="B35">
        <f>IF($B$4&lt;=0.217267096,IF($B$2&lt;=0.4971455336,0,IF($B$5&lt;=0.0011238505,0.8888888889,0)),IF($B$2&lt;=0.6378198266,IF($B$4&lt;=0.3222966939,0.1139240506,0.015037594),IF($B$5&lt;=0.0006028595,1,0.125)))</f>
        <v/>
      </c>
    </row>
    <row r="36">
      <c r="A36" t="n">
        <v>29</v>
      </c>
      <c r="B36">
        <f>IF($B$2&lt;=0.6080402434,IF($B$4&lt;=0.1328999475,1,IF($B$4&lt;=0.3222966939,0.1683168317,0.027027027)),IF($B$4&lt;=0.228617534,IF($B$4&lt;=0.0904428735,0.6666666667,1),IF($B$2&lt;=0.6378198266,0,0.4375)))</f>
        <v/>
      </c>
    </row>
    <row r="37">
      <c r="A37" t="n">
        <v>30</v>
      </c>
      <c r="B37">
        <f>IF($B$2&lt;=0.6121737063,IF($B$4&lt;=0.3256375492,IF($B$3&lt;=0.0154848485,0.125,1),0),IF($B$3&lt;=0.0090553421,IF($B$4&lt;=0.2491268218,0.8333333333,0.2631578947),1))</f>
        <v/>
      </c>
    </row>
    <row r="38">
      <c r="A38" t="n">
        <v>31</v>
      </c>
      <c r="B38">
        <f>IF($B$2&lt;=0.5889169872,IF($B$4&lt;=0.2826712132,IF($B$2&lt;=0.4655024409,0,0.1951219512),IF($B$4&lt;=0.521910429,0.0075757576,0.1333333333)),IF($B$4&lt;=0.2278068811,IF($B$4&lt;=0.154121168,1,0.7692307692),IF($B$5&lt;=0.000314719,1,0.1923076923)))</f>
        <v/>
      </c>
    </row>
    <row r="39">
      <c r="A39" t="n">
        <v>32</v>
      </c>
      <c r="B39">
        <f>IF($B$3&lt;=0.0114958803,IF($B$5&lt;=0.0006083735,IF($B$2&lt;=0.5802330077,0.0769230769,0.8461538462),IF($B$3&lt;=0.003129539,0.1,0.0112359551)),IF($B$5&lt;=0.0007719685,1,IF($B$3&lt;=0.0170122935,0,1)))</f>
        <v/>
      </c>
    </row>
    <row r="40">
      <c r="A40" t="n">
        <v>33</v>
      </c>
      <c r="B40">
        <f>IF($B$2&lt;=0.6083264947,IF($B$4&lt;=0.2378684804,IF($B$3&lt;=0.0170703838,0.2307692308,1),IF($B$3&lt;=0.0012022095,0.1666666667,0.012345679)),IF($B$4&lt;=0.2771733254,IF($B$4&lt;=0.0879420601,0.6666666667,0.9642857143),IF($B$2&lt;=0.6378198266,0,0.4545454545)))</f>
        <v/>
      </c>
    </row>
    <row r="41">
      <c r="A41" t="n">
        <v>34</v>
      </c>
      <c r="B41">
        <f>IF($B$3&lt;=0.0152998548,IF($B$4&lt;=0.2194748521,IF($B$2&lt;=0.607242018,0.1724137931,0.8333333333),IF($B$2&lt;=0.6378198266,0.0322580645,0.4545454545)),1)</f>
        <v/>
      </c>
    </row>
    <row r="42">
      <c r="A42" t="n">
        <v>35</v>
      </c>
      <c r="B42">
        <f>IF($B$3&lt;=0.010432139,IF($B$2&lt;=0.6748971343,IF($B$4&lt;=0.2378684804,0.2692307692,0.0390243902),0.8571428571),IF($B$4&lt;=0.2131140754,IF($B$2&lt;=0.4560601413,0,1),IF($B$3&lt;=0.0145484447,0,1)))</f>
        <v/>
      </c>
    </row>
    <row r="43">
      <c r="A43" t="n">
        <v>36</v>
      </c>
      <c r="B43">
        <f>IF($B$4&lt;=0.2369869426,IF($B$3&lt;=0.0175609486,IF($B$5&lt;=0.0004002685,0.8235294118,0.2608695652),1),IF($B$3&lt;=0.0127968462,IF($B$5&lt;=0.0001463425,1,0.0377358491),1))</f>
        <v/>
      </c>
    </row>
    <row r="44">
      <c r="A44" t="n">
        <v>37</v>
      </c>
      <c r="B44">
        <f>IF($B$4&lt;=0.1526509672,IF($B$3&lt;=0.0170122935,IF($B$2&lt;=0.5141633004,0.3333333333,1),1),IF($B$3&lt;=0.0090553421,IF($B$2&lt;=0.6121737063,0.0263157895,0.4),IF($B$5&lt;=0.001144743,0.9285714286,0)))</f>
        <v/>
      </c>
    </row>
    <row r="45">
      <c r="A45" t="n">
        <v>38</v>
      </c>
      <c r="B45">
        <f>IF($B$2&lt;=0.5905970931,IF($B$3&lt;=0.0170703838,IF($B$5&lt;=0.0007451455,0.052173913,0),1),IF($B$4&lt;=0.262104623,IF($B$5&lt;=0.001144743,0.9361702128,0),IF($B$5&lt;=0.0005956905,0.5,0)))</f>
        <v/>
      </c>
    </row>
    <row r="46">
      <c r="A46" t="n">
        <v>39</v>
      </c>
      <c r="B46">
        <f>IF($B$2&lt;=0.6105303466,IF($B$5&lt;=0.0001110175,1,IF($B$3&lt;=0.0105623719,0.040201005,0.6428571429)),IF($B$3&lt;=0.0090553421,IF($B$5&lt;=0.0003272235,1,0.35),1))</f>
        <v/>
      </c>
    </row>
    <row r="47">
      <c r="A47" t="n">
        <v>40</v>
      </c>
      <c r="B47">
        <f>IF($B$2&lt;=0.6083264947,IF($B$3&lt;=0.0145484447,IF($B$4&lt;=0.2803984582,0.2444444444,0.0060240964),1),IF($B$4&lt;=0.2359096035,0.9677419355,IF($B$2&lt;=0.6369341016,0,0.6315789474)))</f>
        <v/>
      </c>
    </row>
    <row r="48">
      <c r="A48" t="n">
        <v>41</v>
      </c>
      <c r="B48">
        <f>IF($B$3&lt;=0.0150994183,IF($B$4&lt;=0.237085022,IF($B$2&lt;=0.5763431191,0.1142857143,0.8095238095),IF($B$2&lt;=0.6677982211,0.0111111111,0.5)),1)</f>
        <v/>
      </c>
    </row>
    <row r="49">
      <c r="A49" t="n">
        <v>42</v>
      </c>
      <c r="B49">
        <f>IF($B$4&lt;=0.2100550756,IF($B$2&lt;=0.4976714402,IF($B$2&lt;=0.4187411368,1,0.1111111111),IF($B$4&lt;=0.154121168,0.9375,0.6470588235)),IF($B$3&lt;=0.0145484447,IF($B$5&lt;=0.0004446085,0.1833333333,0.027027027),1))</f>
        <v/>
      </c>
    </row>
    <row r="50">
      <c r="A50" t="n">
        <v>43</v>
      </c>
      <c r="B50">
        <f>IF($B$3&lt;=0.0150994183,IF($B$2&lt;=0.5802330077,IF($B$4&lt;=0.2803984582,0.12,0.0076335878),IF($B$4&lt;=0.2739511281,0.7619047619,0.2333333333)),IF($B$2&lt;=0.4472424686,0,1))</f>
        <v/>
      </c>
    </row>
    <row r="51">
      <c r="A51" t="n">
        <v>44</v>
      </c>
      <c r="B51">
        <f>IF($B$3&lt;=0.0165730766,IF($B$4&lt;=0.2369869426,IF($B$2&lt;=0.6116620302,0.2333333333,0.8235294118),IF($B$2&lt;=0.6569575369,0.027173913,0.5)),1)</f>
        <v/>
      </c>
    </row>
    <row r="52">
      <c r="A52" t="n">
        <v>45</v>
      </c>
      <c r="B52">
        <f>IF($B$4&lt;=0.2369869426,IF($B$2&lt;=0.493454814,IF($B$4&lt;=0.1328999475,1,0.1052631579),IF($B$3&lt;=0.0099797328,0.55,0.96875)),IF($B$2&lt;=0.5802330077,IF($B$3&lt;=0.001670107,0.0952380952,0.0068027211),IF($B$3&lt;=0.0028451995,0.75,0.2083333333)))</f>
        <v/>
      </c>
    </row>
    <row r="53">
      <c r="A53" t="n">
        <v>46</v>
      </c>
      <c r="B53">
        <f>IF($B$4&lt;=0.1526509672,IF($B$2&lt;=0.4705873579,0,IF($B$4&lt;=0.0879420601,0.75,1)),IF($B$4&lt;=0.28059946,IF($B$2&lt;=0.6116620302,0.1578947368,0.7272727273),IF($B$2&lt;=0.6369341016,0.0253164557,0.4666666667)))</f>
        <v/>
      </c>
    </row>
    <row r="54">
      <c r="A54" t="n">
        <v>47</v>
      </c>
      <c r="B54">
        <f>IF($B$4&lt;=0.217267096,IF($B$3&lt;=0.0170703838,IF($B$4&lt;=0.1798837632,0.380952381,0.7777777778),1),IF($B$3&lt;=0.0145484447,IF($B$4&lt;=0.2720343471,0.2083333333,0.0289017341),1))</f>
        <v/>
      </c>
    </row>
    <row r="55">
      <c r="A55" t="n">
        <v>48</v>
      </c>
      <c r="B55">
        <f>IF($B$2&lt;=0.5905970931,IF($B$3&lt;=0.0127842184,IF($B$4&lt;=0.1475247443,0.5,0.0353535354),IF($B$2&lt;=0.4675848633,0,1)),IF($B$3&lt;=0.007160485,IF($B$4&lt;=0.2739511281,0.9166666667,0.1724137931),1))</f>
        <v/>
      </c>
    </row>
    <row r="56">
      <c r="A56" t="n">
        <v>49</v>
      </c>
      <c r="B56">
        <f>IF($B$2&lt;=0.5802330077,IF($B$3&lt;=0.0137202791,IF($B$4&lt;=0.3222966939,0.1022727273,0),1),IF($B$4&lt;=0.2359096035,IF($B$5&lt;=0.001144743,1,0.6666666667),IF($B$3&lt;=0.0015484295,1,0.3076923077)))</f>
        <v/>
      </c>
    </row>
    <row r="57">
      <c r="A57" t="n">
        <v>50</v>
      </c>
      <c r="B57">
        <f>IF($B$2&lt;=0.6080402434,IF($B$4&lt;=0.3234332651,IF($B$5&lt;=0.0003756075,0.3571428571,0.0721649485),IF($B$3&lt;=0.0012064485,0.25,0)),IF($B$4&lt;=0.228030026,0.88,IF($B$5&lt;=0.0006054325,0.875,0.0769230769)))</f>
        <v/>
      </c>
    </row>
    <row r="58">
      <c r="A58" t="n">
        <v>51</v>
      </c>
      <c r="B58">
        <f>IF($B$2&lt;=0.597394526,IF($B$3&lt;=0.0147526888,IF($B$5&lt;=0.0001643795,0.8,0.03125),1),IF($B$5&lt;=0.0005865075,IF($B$2&lt;=0.6515281498,0.7777777778,1),IF($B$3&lt;=0.0134519688,0.16,1)))</f>
        <v/>
      </c>
    </row>
    <row r="59">
      <c r="A59" t="n">
        <v>52</v>
      </c>
      <c r="B59">
        <f>IF($B$2&lt;=0.5889169872,IF($B$3&lt;=0.0170703838,IF($B$4&lt;=0.2803984582,0.1428571429,0.0135135135),1),IF($B$5&lt;=0.0005956905,0.975,IF($B$4&lt;=0.2359096035,1,0.1052631579)))</f>
        <v/>
      </c>
    </row>
    <row r="60">
      <c r="A60" t="n">
        <v>53</v>
      </c>
      <c r="B60">
        <f>IF($B$4&lt;=0.217267096,IF($B$3&lt;=0.0166311669,IF($B$4&lt;=0.1921979934,0.4642857143,0.9333333333),1),IF($B$5&lt;=0.0001680935,1,IF($B$2&lt;=0.6369341016,0.0053475936,0.6)))</f>
        <v/>
      </c>
    </row>
    <row r="61">
      <c r="A61" t="n">
        <v>54</v>
      </c>
      <c r="B61">
        <f>IF($B$2&lt;=0.5889169872,IF($B$3&lt;=0.0137202791,IF($B$5&lt;=0.0001688815,0.3333333333,0.0111731844),1),IF($B$3&lt;=0.0091113043,IF($B$4&lt;=0.2739511281,0.8333333333,0.1034482759),1))</f>
        <v/>
      </c>
    </row>
    <row r="62">
      <c r="A62" t="n">
        <v>55</v>
      </c>
      <c r="B62">
        <f>IF($B$3&lt;=0.0105623719,IF($B$5&lt;=0.0001688815,0.9090909091,IF($B$5&lt;=0.0005849025,0.1494252874,0.0218978102)),IF($B$2&lt;=0.6052120328,IF($B$2&lt;=0.4792221785,1,0.375),1))</f>
        <v/>
      </c>
    </row>
    <row r="63">
      <c r="A63" t="n">
        <v>56</v>
      </c>
      <c r="B63">
        <f>IF($B$3&lt;=0.0145484447,IF($B$2&lt;=0.5802330077,IF($B$5&lt;=0.0002729465,0.2777777778,0.0285714286),IF($B$5&lt;=0.0006502905,0.7916666667,0.0344827586)),1)</f>
        <v/>
      </c>
    </row>
    <row r="64">
      <c r="A64" t="n">
        <v>57</v>
      </c>
      <c r="B64">
        <f>IF($B$2&lt;=0.6080402434,IF($B$3&lt;=0.0172105487,IF($B$3&lt;=0.0012064485,0.3333333333,0.0412371134),1),IF($B$4&lt;=0.2577538416,1,IF($B$2&lt;=0.6378198266,0,0.75)))</f>
        <v/>
      </c>
    </row>
    <row r="65">
      <c r="A65" t="n">
        <v>58</v>
      </c>
      <c r="B65">
        <f>IF($B$2&lt;=0.6354198158,IF($B$3&lt;=0.0105623719,IF($B$5&lt;=0.00017262,0.5,0.0295566502),IF($B$5&lt;=0.000535051,1,0.2857142857)),IF($B$3&lt;=0.0091113043,IF($B$3&lt;=0.002965303,1,0.4),1))</f>
        <v/>
      </c>
    </row>
    <row r="66">
      <c r="A66" t="n">
        <v>59</v>
      </c>
      <c r="B66">
        <f>IF($B$3&lt;=0.0152998548,IF($B$2&lt;=0.5795769691,IF($B$4&lt;=0.3222966939,0.130952381,0.0186915888),IF($B$5&lt;=0.0005931175,0.75,0.0740740741)),1)</f>
        <v/>
      </c>
    </row>
    <row r="67">
      <c r="A67" t="n">
        <v>60</v>
      </c>
      <c r="B67">
        <f>IF($B$3&lt;=0.0090553421,IF($B$4&lt;=0.3245314509,IF($B$5&lt;=0.0001643795,0.8333333333,0.1683168317),IF($B$4&lt;=0.6661746502,0.0086956522,1)),IF($B$5&lt;=0.001144743,1,IF($B$4&lt;=0.144807294,1,0)))</f>
        <v/>
      </c>
    </row>
    <row r="68">
      <c r="A68" t="n">
        <v>61</v>
      </c>
      <c r="B68">
        <f>IF($B$2&lt;=0.6121737063,IF($B$5&lt;=0.0003081065,IF($B$3&lt;=0.0053647414,0.0666666667,1),IF($B$4&lt;=0.133708775,0.75,0.0108695652)),IF($B$3&lt;=0.0066843,IF($B$4&lt;=0.228617534,1,0.3157894737),1))</f>
        <v/>
      </c>
    </row>
    <row r="69">
      <c r="A69" t="n">
        <v>62</v>
      </c>
      <c r="B69">
        <f>IF($B$3&lt;=0.0127842184,IF($B$5&lt;=0.000583383,IF($B$2&lt;=0.5788716674,0.0707964602,0.8947368421),IF($B$4&lt;=0.1544575021,0.3333333333,0)),1)</f>
        <v/>
      </c>
    </row>
    <row r="70">
      <c r="A70" t="n">
        <v>63</v>
      </c>
      <c r="B70">
        <f>IF($B$3&lt;=0.016043663,IF($B$4&lt;=0.237085022,IF($B$2&lt;=0.6114948988,0.08,1),IF($B$2&lt;=0.5802330077,0.0333333333,0.2222222222)),1)</f>
        <v/>
      </c>
    </row>
    <row r="71">
      <c r="A71" t="n">
        <v>64</v>
      </c>
      <c r="B71">
        <f>IF($B$4&lt;=0.2194748521,IF($B$3&lt;=0.0170122935,IF($B$4&lt;=0.2023631707,0.3666666667,0.8125),1),IF($B$2&lt;=0.6377155781,IF($B$4&lt;=0.3212285936,0.0886075949,0.0083333333),IF($B$5&lt;=0.001527515,0.875,0)))</f>
        <v/>
      </c>
    </row>
    <row r="72">
      <c r="A72" t="n">
        <v>65</v>
      </c>
      <c r="B72">
        <f>IF($B$2&lt;=0.5802330077,IF($B$4&lt;=0.1643369794,0.8888888889,IF($B$3&lt;=0.031374129,0.0324324324,1)),IF($B$4&lt;=0.2739511281,IF($B$3&lt;=0.0098717813,0.8,1),IF($B$5&lt;=0.0003128725,1,0.1666666667)))</f>
        <v/>
      </c>
    </row>
    <row r="73">
      <c r="A73" t="n">
        <v>66</v>
      </c>
      <c r="B73">
        <f>IF($B$3&lt;=0.0150994183,IF($B$2&lt;=0.6103564799,IF($B$5&lt;=0.0001680935,0.8,0.038647343),IF($B$4&lt;=0.228617534,0.9230769231,0.3333333333)),1)</f>
        <v/>
      </c>
    </row>
    <row r="74">
      <c r="A74" t="n">
        <v>67</v>
      </c>
      <c r="B74">
        <f>IF($B$3&lt;=0.0134273903,IF($B$2&lt;=0.5802330077,IF($B$5&lt;=0.000764083,0.0564516129,0),IF($B$5&lt;=0.000314719,1,0.2142857143)),1)</f>
        <v/>
      </c>
    </row>
    <row r="75">
      <c r="A75" t="n">
        <v>68</v>
      </c>
      <c r="B75">
        <f>IF($B$3&lt;=0.0150994183,IF($B$4&lt;=0.2163055912,IF($B$2&lt;=0.752384752,0.3125,1),IF($B$3&lt;=0.0016588735,0.36,0.0454545455)),1)</f>
        <v/>
      </c>
    </row>
    <row r="76">
      <c r="A76" t="n">
        <v>69</v>
      </c>
      <c r="B76">
        <f>IF($B$2&lt;=0.6083264947,IF($B$5&lt;=0.0007647685,IF($B$3&lt;=0.0137202791,0.0916030534,1),0),IF($B$5&lt;=0.0005956905,0.9285714286,IF($B$4&lt;=0.2359096035,0.7272727273,0)))</f>
        <v/>
      </c>
    </row>
    <row r="77">
      <c r="A77" t="n">
        <v>70</v>
      </c>
      <c r="B77">
        <f>IF($B$2&lt;=0.6569575369,IF($B$4&lt;=0.1356674209,1,IF($B$5&lt;=0.000918687,0.13125,0)),IF($B$4&lt;=0.0879420601,0,IF($B$5&lt;=0.0018883055,0.9677419355,0)))</f>
        <v/>
      </c>
    </row>
    <row r="78">
      <c r="A78" t="n">
        <v>71</v>
      </c>
      <c r="B78">
        <f>IF($B$4&lt;=0.2205508798,IF($B$3&lt;=0.0114958803,IF($B$2&lt;=0.5583845675,0.1176470588,0.7727272727),1),IF($B$2&lt;=0.6378198266,IF($B$3&lt;=0.0016588735,0.2380952381,0.005988024),0.4375))</f>
        <v/>
      </c>
    </row>
    <row r="79">
      <c r="A79" t="n">
        <v>72</v>
      </c>
      <c r="B79">
        <f>IF($B$4&lt;=0.2359096035,IF($B$2&lt;=0.6070748866,IF($B$2&lt;=0.5019148886,0.8333333333,0.4166666667),1),IF($B$2&lt;=0.7838028967,IF($B$4&lt;=0.3234332651,0.1449275362,0.014084507),1))</f>
        <v/>
      </c>
    </row>
    <row r="80">
      <c r="A80" t="n">
        <v>73</v>
      </c>
      <c r="B80">
        <f>IF($B$4&lt;=0.2194748521,IF($B$3&lt;=0.0152998548,IF($B$2&lt;=0.5763431191,0.2307692308,0.8620689655),1),IF($B$2&lt;=0.6569575369,IF($B$4&lt;=0.2812740505,0.1923076923,0.0297619048),IF($B$5&lt;=0.0005962495,1,0.4)))</f>
        <v/>
      </c>
    </row>
    <row r="81">
      <c r="A81" t="n">
        <v>74</v>
      </c>
      <c r="B81">
        <f>IF($B$3&lt;=0.0137202791,IF($B$2&lt;=0.5771459639,IF($B$2&lt;=0.5216836631,0.0465116279,0),IF($B$5&lt;=0.000315399,1,0.2162162162)),1)</f>
        <v/>
      </c>
    </row>
    <row r="82">
      <c r="A82" t="n">
        <v>75</v>
      </c>
      <c r="B82">
        <f>IF($B$3&lt;=0.0105623719,IF($B$2&lt;=0.6121737063,IF($B$5&lt;=0.0001680935,0.75,0.0490196078),IF($B$2&lt;=0.6184287369,1,0.3125)),IF($B$2&lt;=0.6074158847,0.5714285714,1))</f>
        <v/>
      </c>
    </row>
    <row r="83">
      <c r="A83" t="n">
        <v>76</v>
      </c>
      <c r="B83">
        <f>IF($B$2&lt;=0.5913744867,IF($B$5&lt;=0.0002729465,IF($B$3&lt;=0.0057358604,0,1),IF($B$3&lt;=0.0137202791,0.0113636364,1)),IF($B$4&lt;=0.2942793965,IF($B$3&lt;=0.0090553421,0.7142857143,1),IF($B$2&lt;=0.6377155781,0,0.4285714286)))</f>
        <v/>
      </c>
    </row>
    <row r="84">
      <c r="A84" t="n">
        <v>77</v>
      </c>
      <c r="B84">
        <f>IF($B$4&lt;=0.217267096,IF($B$2&lt;=0.5003519356,IF($B$5&lt;=0.0009178105,0,0.6666666667),IF($B$3&lt;=0.0090553421,0.7857142857,1)),IF($B$3&lt;=0.0145484447,IF($B$5&lt;=0.0001500565,1,0.0566037736),1))</f>
        <v/>
      </c>
    </row>
    <row r="85">
      <c r="A85" t="n">
        <v>78</v>
      </c>
      <c r="B85">
        <f>IF($B$3&lt;=0.0105623719,IF($B$2&lt;=0.6377155781,IF($B$5&lt;=0.0001104795,1,0.0373831776),IF($B$5&lt;=0.0018883055,0.8571428571,0)),IF($B$3&lt;=0.0127782049,IF($B$3&lt;=0.0111144111,1,0),1))</f>
        <v/>
      </c>
    </row>
    <row r="86">
      <c r="A86" t="n">
        <v>79</v>
      </c>
      <c r="B86">
        <f>IF($B$4&lt;=0.2194748521,IF($B$3&lt;=0.0170122935,IF($B$5&lt;=0.000522722,0.6333333333,0),1),IF($B$4&lt;=0.3222966939,IF($B$3&lt;=0.0118138525,0.1829268293,1),IF($B$4&lt;=0.6661746502,0.009009009,0.5)))</f>
        <v/>
      </c>
    </row>
    <row r="87">
      <c r="A87" t="n">
        <v>80</v>
      </c>
      <c r="B87">
        <f>IF($B$2&lt;=0.6105303466,IF($B$4&lt;=0.3222966939,IF($B$4&lt;=0.3186282963,0.1386138614,1),0),IF($B$5&lt;=0.0018883055,IF($B$4&lt;=0.0879420601,0,0.9761904762),0))</f>
        <v/>
      </c>
    </row>
    <row r="88">
      <c r="A88" t="n">
        <v>81</v>
      </c>
      <c r="B88">
        <f>IF($B$2&lt;=0.6103564799,IF($B$4&lt;=0.1967527866,IF($B$3&lt;=0.0170703838,0.3333333333,1),IF($B$5&lt;=0.0002729465,0.2666666667,0.0056818182)),IF($B$4&lt;=0.228617534,IF($B$3&lt;=0.0089473906,0.7692307692,1),IF($B$3&lt;=0.002333086,1,0.3333333333)))</f>
        <v/>
      </c>
    </row>
    <row r="89">
      <c r="A89" t="n">
        <v>82</v>
      </c>
      <c r="B89">
        <f>IF($B$3&lt;=0.0091113043,IF($B$4&lt;=0.2194748521,IF($B$3&lt;=0.0039584865,1,0.25),IF($B$2&lt;=0.6555747688,0.0257731959,0.4166666667)),IF($B$3&lt;=0.0150994183,IF($B$3&lt;=0.012431941,0.8333333333,0),1))</f>
        <v/>
      </c>
    </row>
    <row r="90">
      <c r="A90" t="n">
        <v>83</v>
      </c>
      <c r="B90">
        <f>IF($B$4&lt;=0.2194748521,IF($B$3&lt;=0.0170122935,IF($B$2&lt;=0.5583845675,0.2,0.8571428571),1),IF($B$5&lt;=0.0001463425,1,IF($B$2&lt;=0.6377155781,0.0257731959,0.625)))</f>
        <v/>
      </c>
    </row>
    <row r="91">
      <c r="A91" t="n">
        <v>84</v>
      </c>
      <c r="B91">
        <f>IF($B$4&lt;=0.210580416,IF($B$2&lt;=0.4971455336,0.2,IF($B$4&lt;=0.1522784159,1,0.75)),IF($B$4&lt;=0.3655740768,IF($B$5&lt;=0.0003022145,0.3181818182,0.0446428571),0))</f>
        <v/>
      </c>
    </row>
    <row r="92">
      <c r="A92" t="n">
        <v>85</v>
      </c>
      <c r="B92">
        <f>IF($B$2&lt;=0.5802330077,IF($B$4&lt;=0.237085022,IF($B$3&lt;=0.0137202791,0.12,1),IF($B$5&lt;=0.000368306,0.0476190476,0)),IF($B$3&lt;=0.0090553421,IF($B$5&lt;=0.0005931175,0.8666666667,0.0416666667),IF($B$5&lt;=0.001144743,1,0)))</f>
        <v/>
      </c>
    </row>
    <row r="93">
      <c r="A93" t="n">
        <v>86</v>
      </c>
      <c r="B93">
        <f>IF($B$3&lt;=0.0152998548,IF($B$2&lt;=0.6377155781,IF($B$4&lt;=0.3222966939,0.137254902,0),IF($B$4&lt;=0.228030026,0.9090909091,0.5)),1)</f>
        <v/>
      </c>
    </row>
    <row r="94">
      <c r="A94" t="n">
        <v>87</v>
      </c>
      <c r="B94">
        <f>IF($B$2&lt;=0.597394526,IF($B$4&lt;=0.2108871415,IF($B$3&lt;=0.0122486334,0.0769230769,0.9166666667),IF($B$5&lt;=0.00076283,0.1196581197,0)),IF($B$2&lt;=0.6635273397,IF($B$5&lt;=0.00042,0.8888888889,0.3076923077),0.96875))</f>
        <v/>
      </c>
    </row>
    <row r="95">
      <c r="A95" t="n">
        <v>88</v>
      </c>
      <c r="B95">
        <f>IF($B$3&lt;=0.0137202791,IF($B$4&lt;=0.217267096,IF($B$5&lt;=0.000318843,0.8333333333,0.25),IF($B$4&lt;=0.3655740768,0.0962962963,0)),1)</f>
        <v/>
      </c>
    </row>
    <row r="96">
      <c r="A96" t="n">
        <v>89</v>
      </c>
      <c r="B96">
        <f>IF($B$3&lt;=0.0156044462,IF($B$5&lt;=0.0001643795,IF($B$2&lt;=0.5763431191,0.5,1),IF($B$4&lt;=0.2194748521,0.32,0.0351758794)),1)</f>
        <v/>
      </c>
    </row>
    <row r="97">
      <c r="A97" t="n">
        <v>90</v>
      </c>
      <c r="B97">
        <f>IF($B$4&lt;=0.2194748521,IF($B$3&lt;=0.0156366727,IF($B$3&lt;=0.0039577635,1,0.3333333333),1),IF($B$2&lt;=0.6635273397,IF($B$4&lt;=0.3234332651,0.1071428571,0),IF($B$5&lt;=0.0007231575,1,0.3333333333)))</f>
        <v/>
      </c>
    </row>
    <row r="98">
      <c r="A98" t="n">
        <v>91</v>
      </c>
      <c r="B98">
        <f>IF($B$3&lt;=0.016043663,IF($B$5&lt;=0.000645075,IF($B$5&lt;=0.000642029,0.1605839416,1),IF($B$2&lt;=0.4058247656,1,0.0188679245)),1)</f>
        <v/>
      </c>
    </row>
    <row r="99">
      <c r="A99" t="n">
        <v>92</v>
      </c>
      <c r="B99">
        <f>IF($B$4&lt;=0.237085022,IF($B$5&lt;=0.0004020145,IF($B$2&lt;=0.5763431191,0.5714285714,1),IF($B$3&lt;=0.0089473906,0.1428571429,0.8148148148)),IF($B$2&lt;=0.6569575369,IF($B$5&lt;=0.00014072,1,0.0113636364),IF($B$5&lt;=0.0006764045,1,0)))</f>
        <v/>
      </c>
    </row>
    <row r="100">
      <c r="A100" t="n">
        <v>93</v>
      </c>
      <c r="B100">
        <f>IF($B$2&lt;=0.5802330077,IF($B$5&lt;=0.0001680935,IF($B$3&lt;=0.0052868095,0,1),IF($B$3&lt;=0.0105623719,0.0366492147,0.7142857143)),IF($B$4&lt;=0.262104623,0.9714285714,IF($B$4&lt;=0.3122505099,0,0.5263157895)))</f>
        <v/>
      </c>
    </row>
    <row r="101">
      <c r="A101" t="n">
        <v>94</v>
      </c>
      <c r="B101">
        <f>IF($B$3&lt;=0.016043663,IF($B$2&lt;=0.5795769691,IF($B$3&lt;=0.0105623719,0.0748663102,0.375),IF($B$5&lt;=0.0003172455,1,0.25)),1)</f>
        <v/>
      </c>
    </row>
    <row r="102">
      <c r="A102" t="n">
        <v>95</v>
      </c>
      <c r="B102">
        <f>IF($B$4&lt;=0.2329353765,IF($B$4&lt;=0.1364762485,1,IF($B$5&lt;=0.001144743,0.6666666667,0)),IF($B$3&lt;=0.001380961,IF($B$2&lt;=0.6067879796,0.2,1),IF($B$5&lt;=0.0001643795,1,0.0052356021)))</f>
        <v/>
      </c>
    </row>
    <row r="103">
      <c r="A103" t="n">
        <v>96</v>
      </c>
      <c r="B103">
        <f>IF($B$3&lt;=0.0170122935,IF($B$5&lt;=0.0001658355,0.8181818182,IF($B$4&lt;=0.3234633505,0.2388059701,0.0093457944)),1)</f>
        <v/>
      </c>
    </row>
    <row r="104">
      <c r="A104" t="n">
        <v>97</v>
      </c>
      <c r="B104">
        <f>IF($B$2&lt;=0.6635273397,IF($B$4&lt;=0.2894720733,IF($B$3&lt;=0.0154848485,0.2716049383,1),IF($B$3&lt;=0.0012022095,0.25,0.0070921986)),IF($B$5&lt;=0.0018883055,0.9705882353,0))</f>
        <v/>
      </c>
    </row>
    <row r="105">
      <c r="A105" t="n">
        <v>98</v>
      </c>
      <c r="B105">
        <f>IF($B$4&lt;=0.2199633718,IF($B$2&lt;=0.5295651555,IF($B$3&lt;=0.0127842184,0.0476190476,0.8),IF($B$5&lt;=0.000350961,1,0.7368421053)),IF($B$3&lt;=0.012411416,IF($B$5&lt;=0.0002761825,0.4615384615,0.0317460317),1))</f>
        <v/>
      </c>
    </row>
    <row r="106">
      <c r="A106" t="n">
        <v>99</v>
      </c>
      <c r="B106">
        <f>IF($B$3&lt;=0.0150994183,IF($B$5&lt;=0.0001680935,1,IF($B$3&lt;=0.0090553421,0.0909090909,0.4666666667)),1)</f>
        <v/>
      </c>
    </row>
    <row r="107">
      <c r="A107" t="n">
        <v>100</v>
      </c>
      <c r="B107">
        <f>IF($B$4&lt;=0.2329353765,IF($B$3&lt;=0.0150994183,IF($B$2&lt;=0.581892997,0.15625,0.7),0.9565217391),IF($B$5&lt;=0.0004891285,IF($B$2&lt;=0.6468661726,0.0655737705,1),0.015037594))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2025-12-14T03:38:14Z</dcterms:created>
  <dcterms:modified xsi:type="dcterms:W3CDTF">2025-12-14T03:38:14Z</dcterms:modified>
</cp:coreProperties>
</file>